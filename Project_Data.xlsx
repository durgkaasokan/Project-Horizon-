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rgkaasokan/Desktop/Project_Horizon/"/>
    </mc:Choice>
  </mc:AlternateContent>
  <xr:revisionPtr revIDLastSave="0" documentId="13_ncr:1_{0AA82072-05C9-E24D-B35B-5C502166D12F}" xr6:coauthVersionLast="47" xr6:coauthVersionMax="47" xr10:uidLastSave="{00000000-0000-0000-0000-000000000000}"/>
  <bookViews>
    <workbookView xWindow="760" yWindow="1120" windowWidth="28040" windowHeight="16100" xr2:uid="{BE18DE3B-B7E3-544E-98E4-787DD68813C0}"/>
  </bookViews>
  <sheets>
    <sheet name="Phase_2_Operational_Model" sheetId="1" r:id="rId1"/>
    <sheet name="Assumption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8" i="1"/>
  <c r="B13" i="1" s="1"/>
  <c r="B9" i="1" l="1"/>
  <c r="B10" i="1" s="1"/>
  <c r="B16" i="1" s="1"/>
  <c r="B14" i="1"/>
  <c r="B15" i="1" s="1"/>
  <c r="B17" i="1" s="1"/>
</calcChain>
</file>

<file path=xl/sharedStrings.xml><?xml version="1.0" encoding="utf-8"?>
<sst xmlns="http://schemas.openxmlformats.org/spreadsheetml/2006/main" count="54" uniqueCount="44">
  <si>
    <t>BLOCK A: OPERATIONAL INPUTS</t>
  </si>
  <si>
    <t>Trucks</t>
  </si>
  <si>
    <t>Baseline Annual Diesel per Truck</t>
  </si>
  <si>
    <t>Liters</t>
  </si>
  <si>
    <t>Ramp Haulage Allocation</t>
  </si>
  <si>
    <t>%</t>
  </si>
  <si>
    <t>BLOCK B: CALCULATION ENGINE</t>
  </si>
  <si>
    <t>Total Baseline Fleet Fuel Volume</t>
  </si>
  <si>
    <t>Liters / Year</t>
  </si>
  <si>
    <t>Total Diesel Volume Displaced</t>
  </si>
  <si>
    <t>Raw Displaced Thermal Energy</t>
  </si>
  <si>
    <t>kWh / Year</t>
  </si>
  <si>
    <t>Final Grid Electricity Required</t>
  </si>
  <si>
    <t>MACRO ECONOMIC INPUTS</t>
  </si>
  <si>
    <t>Projected Carbon Tax Rate</t>
  </si>
  <si>
    <t>$/Tonne</t>
  </si>
  <si>
    <t>Projected 2035 Regulatory Framework</t>
  </si>
  <si>
    <t>BASELINE FLEET INPUTS</t>
  </si>
  <si>
    <t>Total Haul Truck Fleet ($N$)</t>
  </si>
  <si>
    <t>Current operational asset count</t>
  </si>
  <si>
    <t>Annual Diesel per Truck</t>
  </si>
  <si>
    <t>Industry benchmark (CAT 793 equivalent)</t>
  </si>
  <si>
    <t>Current Diesel Cost</t>
  </si>
  <si>
    <t>$/Liter</t>
  </si>
  <si>
    <t>Average site commercial fuel rate</t>
  </si>
  <si>
    <t>Diesel Emissions Factor</t>
  </si>
  <si>
    <t>kg $CO_2$/L</t>
  </si>
  <si>
    <t>International standard for diesel combustion</t>
  </si>
  <si>
    <t>ELECTRIFICATION INPUTS</t>
  </si>
  <si>
    <t>Grid Electricity Cost</t>
  </si>
  <si>
    <t>$/kWh</t>
  </si>
  <si>
    <t>Regional industrial power grid tariff</t>
  </si>
  <si>
    <t>Percentage of cycle spent on ramp</t>
  </si>
  <si>
    <t>EV Efficiency Multiplier</t>
  </si>
  <si>
    <t>Factor</t>
  </si>
  <si>
    <t>Efficiency gain of EV vs Internal Combustion</t>
  </si>
  <si>
    <t>Baseline  Fleet Size</t>
  </si>
  <si>
    <t>BLOCK C: FINANCIAL SAVINGS ENGINE</t>
  </si>
  <si>
    <t>Gross Diesel Cost Savings</t>
  </si>
  <si>
    <t>Avoided Carbon Tax Penalty</t>
  </si>
  <si>
    <t>Total Gross Savings (A)</t>
  </si>
  <si>
    <t>New Grid Electricity Cost (B)</t>
  </si>
  <si>
    <t>NET ANNUAL OPERATIONAL SAVINGS</t>
  </si>
  <si>
    <t>$/Year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</si>
</sst>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LKR&quot;* #,##0.00_);_(&quot;LKR&quot;* \(#,##0.00\);_(&quot;LKR&quot;* &quot;-&quot;??_);_(@_)"/>
  </numFmts>
  <fonts count="1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000000"/>
      <name val="-webkit-standard"/>
    </font>
    <font>
      <sz val="14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0"/>
      <color rgb="FF000000"/>
      <name val="Google Sans Text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9" fontId="2" fillId="0" borderId="0" xfId="2" applyFont="1"/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3" fontId="10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3" fontId="8" fillId="0" borderId="1" xfId="0" applyNumberFormat="1" applyFont="1" applyBorder="1" applyAlignment="1">
      <alignment horizontal="left" vertical="top"/>
    </xf>
    <xf numFmtId="10" fontId="8" fillId="0" borderId="1" xfId="0" applyNumberFormat="1" applyFont="1" applyBorder="1" applyAlignment="1">
      <alignment horizontal="left" vertical="top"/>
    </xf>
    <xf numFmtId="4" fontId="11" fillId="0" borderId="1" xfId="1" applyNumberFormat="1" applyFont="1" applyBorder="1" applyAlignment="1">
      <alignment horizontal="left" vertical="top"/>
    </xf>
    <xf numFmtId="0" fontId="2" fillId="0" borderId="1" xfId="0" applyFont="1" applyBorder="1"/>
    <xf numFmtId="4" fontId="8" fillId="0" borderId="1" xfId="1" applyNumberFormat="1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4" fontId="11" fillId="2" borderId="1" xfId="1" applyNumberFormat="1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9" fillId="3" borderId="1" xfId="0" applyFont="1" applyFill="1" applyBorder="1" applyAlignment="1">
      <alignment horizontal="left"/>
    </xf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D258-D418-164A-9DB0-863A3289EEDA}">
  <dimension ref="A1:E17"/>
  <sheetViews>
    <sheetView tabSelected="1" workbookViewId="0">
      <selection activeCell="F15" sqref="F15"/>
    </sheetView>
  </sheetViews>
  <sheetFormatPr baseColWidth="10" defaultRowHeight="16"/>
  <cols>
    <col min="1" max="1" width="44.6640625" customWidth="1"/>
    <col min="2" max="2" width="23" customWidth="1"/>
    <col min="3" max="3" width="17" customWidth="1"/>
    <col min="4" max="4" width="27.6640625" customWidth="1"/>
  </cols>
  <sheetData>
    <row r="1" spans="1:5" ht="19">
      <c r="A1" s="22" t="s">
        <v>0</v>
      </c>
      <c r="B1" s="10"/>
      <c r="C1" s="10"/>
      <c r="D1" s="4"/>
    </row>
    <row r="2" spans="1:5" ht="19">
      <c r="A2" s="13" t="s">
        <v>36</v>
      </c>
      <c r="B2" s="14">
        <f>Assumptions!B5</f>
        <v>40</v>
      </c>
      <c r="C2" s="14" t="s">
        <v>1</v>
      </c>
      <c r="D2" s="1"/>
      <c r="E2" s="2"/>
    </row>
    <row r="3" spans="1:5" ht="19">
      <c r="A3" s="13" t="s">
        <v>2</v>
      </c>
      <c r="B3" s="15">
        <f>Assumptions!B6</f>
        <v>500000</v>
      </c>
      <c r="C3" s="14" t="s">
        <v>3</v>
      </c>
      <c r="D3" s="1"/>
      <c r="E3" s="4"/>
    </row>
    <row r="4" spans="1:5" ht="19">
      <c r="A4" s="13" t="s">
        <v>4</v>
      </c>
      <c r="B4" s="16">
        <v>0.4</v>
      </c>
      <c r="C4" s="14" t="s">
        <v>5</v>
      </c>
      <c r="D4" s="6"/>
      <c r="E4" s="5"/>
    </row>
    <row r="5" spans="1:5" ht="19">
      <c r="A5" s="10"/>
      <c r="B5" s="10"/>
      <c r="C5" s="10"/>
      <c r="D5" s="3"/>
      <c r="E5" s="5"/>
    </row>
    <row r="6" spans="1:5" ht="19">
      <c r="A6" s="22" t="s">
        <v>6</v>
      </c>
      <c r="B6" s="10"/>
      <c r="C6" s="10"/>
      <c r="D6" s="4"/>
      <c r="E6" s="5"/>
    </row>
    <row r="7" spans="1:5" ht="19">
      <c r="A7" s="13" t="s">
        <v>7</v>
      </c>
      <c r="B7" s="15">
        <v>20000000</v>
      </c>
      <c r="C7" s="14" t="s">
        <v>8</v>
      </c>
      <c r="D7" s="1"/>
      <c r="E7" s="3"/>
    </row>
    <row r="8" spans="1:5" ht="19">
      <c r="A8" s="13" t="s">
        <v>9</v>
      </c>
      <c r="B8" s="14">
        <f>B7*B4</f>
        <v>8000000</v>
      </c>
      <c r="C8" s="14" t="s">
        <v>8</v>
      </c>
      <c r="D8" s="1"/>
      <c r="E8" s="4"/>
    </row>
    <row r="9" spans="1:5" ht="19">
      <c r="A9" s="13" t="s">
        <v>10</v>
      </c>
      <c r="B9" s="14">
        <f>B8*10</f>
        <v>80000000</v>
      </c>
      <c r="C9" s="14" t="s">
        <v>11</v>
      </c>
      <c r="D9" s="5"/>
      <c r="E9" s="5"/>
    </row>
    <row r="10" spans="1:5" ht="19">
      <c r="A10" s="13" t="s">
        <v>12</v>
      </c>
      <c r="B10" s="15">
        <f>B9/3</f>
        <v>26666666.666666668</v>
      </c>
      <c r="C10" s="14" t="s">
        <v>11</v>
      </c>
      <c r="D10" s="5"/>
      <c r="E10" s="5"/>
    </row>
    <row r="11" spans="1:5" ht="19">
      <c r="A11" s="9"/>
      <c r="B11" s="9"/>
      <c r="C11" s="11"/>
      <c r="D11" s="2"/>
      <c r="E11" s="5"/>
    </row>
    <row r="12" spans="1:5" ht="19">
      <c r="A12" s="22" t="s">
        <v>37</v>
      </c>
      <c r="B12" s="12"/>
      <c r="C12" s="12"/>
      <c r="E12" s="5"/>
    </row>
    <row r="13" spans="1:5" ht="19">
      <c r="A13" s="13" t="s">
        <v>38</v>
      </c>
      <c r="B13" s="17">
        <f>B8*Assumptions!B7</f>
        <v>9600000</v>
      </c>
      <c r="C13" s="18" t="s">
        <v>43</v>
      </c>
    </row>
    <row r="14" spans="1:5" ht="19">
      <c r="A14" s="13" t="s">
        <v>39</v>
      </c>
      <c r="B14" s="19">
        <f>(B8*Assumptions!B8/1000)*Assumptions!B3</f>
        <v>2144000</v>
      </c>
      <c r="C14" s="18" t="s">
        <v>43</v>
      </c>
    </row>
    <row r="15" spans="1:5" ht="19">
      <c r="A15" s="13" t="s">
        <v>40</v>
      </c>
      <c r="B15" s="19">
        <f>B13+B14</f>
        <v>11744000</v>
      </c>
      <c r="C15" s="18" t="s">
        <v>43</v>
      </c>
    </row>
    <row r="16" spans="1:5" ht="19">
      <c r="A16" s="20" t="s">
        <v>41</v>
      </c>
      <c r="B16" s="19">
        <f>B10*Assumptions!B10</f>
        <v>2666666.666666667</v>
      </c>
      <c r="C16" s="18" t="s">
        <v>43</v>
      </c>
    </row>
    <row r="17" spans="1:3" ht="19">
      <c r="A17" s="13" t="s">
        <v>42</v>
      </c>
      <c r="B17" s="21">
        <f>B15-B16</f>
        <v>9077333.3333333321</v>
      </c>
      <c r="C17" s="1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7F68-AAD4-DD41-A58E-9D265F611FD2}">
  <dimension ref="A1:D12"/>
  <sheetViews>
    <sheetView workbookViewId="0">
      <selection activeCell="A17" sqref="A17"/>
    </sheetView>
  </sheetViews>
  <sheetFormatPr baseColWidth="10" defaultRowHeight="16"/>
  <cols>
    <col min="1" max="1" width="29" customWidth="1"/>
    <col min="2" max="2" width="17.5" customWidth="1"/>
    <col min="3" max="3" width="16.83203125" customWidth="1"/>
    <col min="4" max="4" width="44.1640625" customWidth="1"/>
  </cols>
  <sheetData>
    <row r="1" spans="1:4" ht="19">
      <c r="A1" s="7"/>
      <c r="B1" s="7"/>
      <c r="C1" s="7"/>
      <c r="D1" s="7"/>
    </row>
    <row r="2" spans="1:4" ht="19">
      <c r="A2" s="28" t="s">
        <v>13</v>
      </c>
      <c r="B2" s="8"/>
      <c r="C2" s="8"/>
      <c r="D2" s="8"/>
    </row>
    <row r="3" spans="1:4" ht="19">
      <c r="A3" s="23" t="s">
        <v>14</v>
      </c>
      <c r="B3" s="23">
        <v>100</v>
      </c>
      <c r="C3" s="23" t="s">
        <v>15</v>
      </c>
      <c r="D3" s="23" t="s">
        <v>16</v>
      </c>
    </row>
    <row r="4" spans="1:4" ht="19">
      <c r="A4" s="28" t="s">
        <v>17</v>
      </c>
      <c r="B4" s="8"/>
      <c r="C4" s="8"/>
      <c r="D4" s="8"/>
    </row>
    <row r="5" spans="1:4" ht="19">
      <c r="A5" s="23" t="s">
        <v>18</v>
      </c>
      <c r="B5" s="23">
        <v>40</v>
      </c>
      <c r="C5" s="23" t="s">
        <v>1</v>
      </c>
      <c r="D5" s="23" t="s">
        <v>19</v>
      </c>
    </row>
    <row r="6" spans="1:4" ht="19">
      <c r="A6" s="23" t="s">
        <v>20</v>
      </c>
      <c r="B6" s="25">
        <v>500000</v>
      </c>
      <c r="C6" s="23" t="s">
        <v>3</v>
      </c>
      <c r="D6" s="23" t="s">
        <v>21</v>
      </c>
    </row>
    <row r="7" spans="1:4" ht="19">
      <c r="A7" s="23" t="s">
        <v>22</v>
      </c>
      <c r="B7" s="23">
        <v>1.2</v>
      </c>
      <c r="C7" s="23" t="s">
        <v>23</v>
      </c>
      <c r="D7" s="23" t="s">
        <v>24</v>
      </c>
    </row>
    <row r="8" spans="1:4" ht="19">
      <c r="A8" s="26" t="s">
        <v>25</v>
      </c>
      <c r="B8" s="23">
        <v>2.68</v>
      </c>
      <c r="C8" s="23" t="s">
        <v>26</v>
      </c>
      <c r="D8" s="23" t="s">
        <v>27</v>
      </c>
    </row>
    <row r="9" spans="1:4" ht="19">
      <c r="A9" s="28" t="s">
        <v>28</v>
      </c>
      <c r="B9" s="8"/>
      <c r="C9" s="8"/>
      <c r="D9" s="8"/>
    </row>
    <row r="10" spans="1:4" ht="19">
      <c r="A10" s="27" t="s">
        <v>29</v>
      </c>
      <c r="B10" s="23">
        <v>0.1</v>
      </c>
      <c r="C10" s="23" t="s">
        <v>30</v>
      </c>
      <c r="D10" s="23" t="s">
        <v>31</v>
      </c>
    </row>
    <row r="11" spans="1:4" ht="19">
      <c r="A11" s="23" t="s">
        <v>4</v>
      </c>
      <c r="B11" s="24">
        <v>0.4</v>
      </c>
      <c r="C11" s="23" t="s">
        <v>5</v>
      </c>
      <c r="D11" s="23" t="s">
        <v>32</v>
      </c>
    </row>
    <row r="12" spans="1:4" ht="19">
      <c r="A12" s="23" t="s">
        <v>33</v>
      </c>
      <c r="B12" s="23">
        <v>3</v>
      </c>
      <c r="C12" s="23" t="s">
        <v>34</v>
      </c>
      <c r="D12" s="2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Phase_2_Operational_Model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2026-07-06T02:14:48Z</dcterms:created>
  <dcterms:modified xsi:type="dcterms:W3CDTF">2026-07-08T01:10:09Z</dcterms:modified>
</cp:coreProperties>
</file>